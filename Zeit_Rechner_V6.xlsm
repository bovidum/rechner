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nko\Desktop\"/>
    </mc:Choice>
  </mc:AlternateContent>
  <xr:revisionPtr revIDLastSave="0" documentId="13_ncr:1_{53F40F1B-E75A-4B33-AA05-458966F4737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rbeitszei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7" i="1" l="1"/>
  <c r="B26" i="1"/>
  <c r="B25" i="1"/>
  <c r="B23" i="1"/>
  <c r="F21" i="1"/>
  <c r="F22" i="1" s="1"/>
  <c r="F20" i="1"/>
  <c r="F19" i="1"/>
  <c r="B13" i="1"/>
  <c r="B14" i="1" s="1"/>
  <c r="B12" i="1"/>
  <c r="F11" i="1"/>
  <c r="F10" i="1" s="1"/>
  <c r="F9" i="1"/>
  <c r="B9" i="1"/>
</calcChain>
</file>

<file path=xl/sharedStrings.xml><?xml version="1.0" encoding="utf-8"?>
<sst xmlns="http://schemas.openxmlformats.org/spreadsheetml/2006/main" count="60" uniqueCount="26">
  <si>
    <t>Dienstzeit (fix)</t>
  </si>
  <si>
    <t>7:48 = reine Arbeitszeit (inkl. 0:25 Dusche) – Pause kommt on top</t>
  </si>
  <si>
    <t>Pause</t>
  </si>
  <si>
    <t>Standard: 0:30 – anpassbar (0:00 falls keine Pause)</t>
  </si>
  <si>
    <t>Arbeitsbeginn</t>
  </si>
  <si>
    <t>Zeit hier eingeben</t>
  </si>
  <si>
    <t>hh:mm</t>
  </si>
  <si>
    <t>Dienstende (Wunsch)</t>
  </si>
  <si>
    <t>Schichtverlängerung ? (Gesamt inkl. 15 Minuten Pause)</t>
  </si>
  <si>
    <t>h:mm</t>
  </si>
  <si>
    <t>Dienstende Regulär</t>
  </si>
  <si>
    <t>Ergebnis</t>
  </si>
  <si>
    <t>Dienstende MIT Duschen (Dienstbeginn + Pause + 7:48 h)</t>
  </si>
  <si>
    <t>Zeit auf dem Tageszettel</t>
  </si>
  <si>
    <t>Beginn Duschzeit</t>
  </si>
  <si>
    <t>Dienstende MIT Duschen</t>
  </si>
  <si>
    <t>Entnahme ZEITKONTO</t>
  </si>
  <si>
    <t>Spontane Anfrage (Uhrzeit)</t>
  </si>
  <si>
    <t>Dienstende OHNE Duschen</t>
  </si>
  <si>
    <t>Dienstende nach Entnahme Zeitkonto</t>
  </si>
  <si>
    <r>
      <rPr>
        <b/>
        <sz val="11"/>
        <color theme="1"/>
        <rFont val="Calibri"/>
        <family val="2"/>
        <scheme val="minor"/>
      </rPr>
      <t>Pause</t>
    </r>
    <r>
      <rPr>
        <sz val="11"/>
        <color theme="1"/>
        <rFont val="Calibri"/>
        <family val="2"/>
        <scheme val="minor"/>
      </rPr>
      <t xml:space="preserve">  Ja/Nein ? (</t>
    </r>
    <r>
      <rPr>
        <u/>
        <sz val="11"/>
        <color theme="1"/>
        <rFont val="Calibri"/>
        <family val="2"/>
        <scheme val="minor"/>
      </rPr>
      <t>wenn keine Pause dann hier Wert "0"</t>
    </r>
    <r>
      <rPr>
        <sz val="11"/>
        <color theme="1"/>
        <rFont val="Calibri"/>
        <family val="2"/>
        <scheme val="minor"/>
      </rPr>
      <t>)</t>
    </r>
  </si>
  <si>
    <r>
      <t xml:space="preserve">Berechnung nach Wunsch-Dienstende (ZEITKONTO)                                                                  </t>
    </r>
    <r>
      <rPr>
        <b/>
        <u/>
        <sz val="13"/>
        <rFont val="Calibri"/>
        <family val="2"/>
      </rPr>
      <t xml:space="preserve"> ...Kolleg:in möchte um … Uhr gehen</t>
    </r>
  </si>
  <si>
    <r>
      <t xml:space="preserve">Berechnung nach Wunsch-Entnahme (ZEITKONTO)                                </t>
    </r>
    <r>
      <rPr>
        <b/>
        <u/>
        <sz val="13"/>
        <rFont val="Calibri"/>
        <family val="2"/>
      </rPr>
      <t xml:space="preserve"> ...Kolleg:in möchte … Stunden von Zeitkonto entnehmen</t>
    </r>
  </si>
  <si>
    <r>
      <t xml:space="preserve">Feierabend Rechner (optional mit Schichtverlängerung)        </t>
    </r>
    <r>
      <rPr>
        <b/>
        <u/>
        <sz val="13"/>
        <rFont val="Calibri"/>
        <family val="2"/>
      </rPr>
      <t xml:space="preserve"> …für den WINTER</t>
    </r>
  </si>
  <si>
    <r>
      <t xml:space="preserve">Spontan Feierabend (ZEITKONTO)                     </t>
    </r>
    <r>
      <rPr>
        <b/>
        <u/>
        <sz val="13"/>
        <rFont val="Calibri"/>
        <family val="2"/>
      </rPr>
      <t xml:space="preserve"> ...Kolleg:in möchte JETZT gehen</t>
    </r>
  </si>
  <si>
    <r>
      <t xml:space="preserve">Zeitkonto und Feierabend Rechner </t>
    </r>
    <r>
      <rPr>
        <b/>
        <sz val="8"/>
        <rFont val="Calibri"/>
        <family val="2"/>
      </rPr>
      <t>entworfen von Max VR13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</si>
</sst>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\ &quot;Uhr&quot;"/>
    <numFmt numFmtId="165" formatCode="h:mm\ &quot;h&quot;"/>
  </numFmts>
  <fonts count="22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u val="double"/>
      <sz val="14"/>
      <name val="Calibri"/>
    </font>
    <font>
      <b/>
      <sz val="12"/>
      <color rgb="FF000000"/>
      <name val="Calibri"/>
    </font>
    <font>
      <b/>
      <sz val="12"/>
      <color rgb="FF000000"/>
      <name val="Calibri"/>
    </font>
    <font>
      <b/>
      <sz val="11"/>
      <name val="Calibri"/>
    </font>
    <font>
      <b/>
      <u val="double"/>
      <sz val="14"/>
      <color rgb="FF000000"/>
      <name val="Calibri"/>
    </font>
    <font>
      <b/>
      <sz val="11"/>
      <color theme="1"/>
      <name val="Calibri"/>
      <family val="2"/>
      <scheme val="minor"/>
    </font>
    <font>
      <b/>
      <sz val="11"/>
      <name val="Calibri"/>
    </font>
    <font>
      <b/>
      <sz val="12"/>
      <color rgb="FF000000"/>
      <name val="Calibri"/>
    </font>
    <font>
      <sz val="11"/>
      <name val="Calibri"/>
    </font>
    <font>
      <sz val="11"/>
      <name val="Calibri"/>
    </font>
    <font>
      <sz val="12"/>
      <color rgb="FF000000"/>
      <name val="Calibri"/>
    </font>
    <font>
      <b/>
      <sz val="11"/>
      <name val="Calibri"/>
    </font>
    <font>
      <sz val="11"/>
      <name val="Calibri"/>
    </font>
    <font>
      <b/>
      <sz val="13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8"/>
      <name val="Calibri"/>
      <family val="2"/>
    </font>
    <font>
      <b/>
      <sz val="28"/>
      <color rgb="FFFF9900"/>
      <name val="Calibri"/>
      <family val="2"/>
    </font>
    <font>
      <u/>
      <sz val="11"/>
      <color theme="1"/>
      <name val="Calibri"/>
      <family val="2"/>
      <scheme val="minor"/>
    </font>
    <font>
      <b/>
      <u/>
      <sz val="1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5CC"/>
      </patternFill>
    </fill>
    <fill>
      <patternFill patternType="solid">
        <fgColor rgb="FFF2F2F2"/>
      </patternFill>
    </fill>
    <fill>
      <patternFill patternType="solid">
        <fgColor rgb="FFFFC000"/>
      </patternFill>
    </fill>
    <fill>
      <patternFill patternType="solid">
        <fgColor rgb="FFDDDDDD"/>
      </patternFill>
    </fill>
    <fill>
      <patternFill patternType="solid">
        <fgColor rgb="FFFFE5CC"/>
      </patternFill>
    </fill>
    <fill>
      <patternFill patternType="solid">
        <fgColor rgb="FFFFC000"/>
      </patternFill>
    </fill>
    <fill>
      <patternFill patternType="solid">
        <fgColor rgb="FFFFE5CC"/>
      </patternFill>
    </fill>
    <fill>
      <patternFill patternType="solid">
        <fgColor rgb="FFFFD966"/>
      </patternFill>
    </fill>
    <fill>
      <patternFill patternType="solid">
        <fgColor rgb="FFFF8C00"/>
        <bgColor rgb="FFFF8C00"/>
      </patternFill>
    </fill>
    <fill>
      <patternFill patternType="solid">
        <fgColor theme="8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28"/>
  </cellStyleXfs>
  <cellXfs count="71">
    <xf numFmtId="0" fontId="0" fillId="0" borderId="0" xfId="0" applyBorder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164" fontId="0" fillId="5" borderId="2" xfId="0" applyNumberFormat="1" applyFill="1" applyBorder="1"/>
    <xf numFmtId="20" fontId="3" fillId="4" borderId="2" xfId="0" applyNumberFormat="1" applyFont="1" applyFill="1" applyBorder="1"/>
    <xf numFmtId="0" fontId="0" fillId="0" borderId="4" xfId="0" applyBorder="1"/>
    <xf numFmtId="0" fontId="0" fillId="0" borderId="3" xfId="0" applyBorder="1" applyAlignment="1">
      <alignment wrapText="1"/>
    </xf>
    <xf numFmtId="0" fontId="0" fillId="0" borderId="5" xfId="0" applyBorder="1"/>
    <xf numFmtId="20" fontId="0" fillId="0" borderId="2" xfId="0" applyNumberFormat="1" applyBorder="1"/>
    <xf numFmtId="164" fontId="10" fillId="0" borderId="2" xfId="0" applyNumberFormat="1" applyFont="1" applyBorder="1"/>
    <xf numFmtId="20" fontId="4" fillId="7" borderId="2" xfId="0" applyNumberFormat="1" applyFont="1" applyFill="1" applyBorder="1"/>
    <xf numFmtId="164" fontId="12" fillId="5" borderId="2" xfId="0" applyNumberFormat="1" applyFont="1" applyFill="1" applyBorder="1"/>
    <xf numFmtId="0" fontId="0" fillId="2" borderId="13" xfId="0" applyFill="1" applyBorder="1"/>
    <xf numFmtId="0" fontId="0" fillId="3" borderId="14" xfId="0" applyFill="1" applyBorder="1"/>
    <xf numFmtId="0" fontId="0" fillId="0" borderId="13" xfId="0" applyBorder="1"/>
    <xf numFmtId="0" fontId="0" fillId="0" borderId="14" xfId="0" applyBorder="1"/>
    <xf numFmtId="0" fontId="1" fillId="2" borderId="13" xfId="0" applyFont="1" applyFill="1" applyBorder="1"/>
    <xf numFmtId="0" fontId="1" fillId="2" borderId="15" xfId="0" applyFont="1" applyFill="1" applyBorder="1"/>
    <xf numFmtId="0" fontId="0" fillId="0" borderId="16" xfId="0" applyBorder="1"/>
    <xf numFmtId="0" fontId="0" fillId="6" borderId="13" xfId="0" applyFill="1" applyBorder="1"/>
    <xf numFmtId="0" fontId="8" fillId="6" borderId="13" xfId="0" applyFont="1" applyFill="1" applyBorder="1"/>
    <xf numFmtId="0" fontId="8" fillId="8" borderId="13" xfId="0" applyFont="1" applyFill="1" applyBorder="1"/>
    <xf numFmtId="0" fontId="5" fillId="6" borderId="13" xfId="0" applyFont="1" applyFill="1" applyBorder="1"/>
    <xf numFmtId="0" fontId="11" fillId="6" borderId="13" xfId="0" applyFont="1" applyFill="1" applyBorder="1"/>
    <xf numFmtId="0" fontId="8" fillId="6" borderId="15" xfId="0" applyFont="1" applyFill="1" applyBorder="1"/>
    <xf numFmtId="164" fontId="6" fillId="7" borderId="10" xfId="0" applyNumberFormat="1" applyFont="1" applyFill="1" applyBorder="1"/>
    <xf numFmtId="0" fontId="7" fillId="2" borderId="13" xfId="0" applyFont="1" applyFill="1" applyBorder="1"/>
    <xf numFmtId="0" fontId="0" fillId="8" borderId="20" xfId="0" applyFill="1" applyBorder="1"/>
    <xf numFmtId="20" fontId="0" fillId="0" borderId="21" xfId="0" applyNumberFormat="1" applyBorder="1"/>
    <xf numFmtId="0" fontId="0" fillId="3" borderId="22" xfId="0" applyFill="1" applyBorder="1"/>
    <xf numFmtId="0" fontId="13" fillId="0" borderId="20" xfId="0" applyFont="1" applyBorder="1"/>
    <xf numFmtId="0" fontId="0" fillId="0" borderId="22" xfId="0" applyBorder="1"/>
    <xf numFmtId="0" fontId="7" fillId="8" borderId="20" xfId="0" applyFont="1" applyFill="1" applyBorder="1"/>
    <xf numFmtId="164" fontId="9" fillId="8" borderId="23" xfId="0" applyNumberFormat="1" applyFont="1" applyFill="1" applyBorder="1" applyAlignment="1">
      <alignment horizontal="center" vertical="center"/>
    </xf>
    <xf numFmtId="0" fontId="8" fillId="8" borderId="20" xfId="0" applyFont="1" applyFill="1" applyBorder="1"/>
    <xf numFmtId="164" fontId="0" fillId="0" borderId="21" xfId="0" applyNumberFormat="1" applyBorder="1"/>
    <xf numFmtId="20" fontId="9" fillId="7" borderId="21" xfId="0" applyNumberFormat="1" applyFont="1" applyFill="1" applyBorder="1"/>
    <xf numFmtId="0" fontId="0" fillId="0" borderId="25" xfId="0" applyBorder="1"/>
    <xf numFmtId="0" fontId="14" fillId="5" borderId="20" xfId="0" applyFont="1" applyFill="1" applyBorder="1"/>
    <xf numFmtId="0" fontId="13" fillId="8" borderId="24" xfId="0" applyFont="1" applyFill="1" applyBorder="1"/>
    <xf numFmtId="0" fontId="0" fillId="0" borderId="26" xfId="0" applyBorder="1"/>
    <xf numFmtId="0" fontId="0" fillId="9" borderId="9" xfId="0" applyFill="1" applyBorder="1"/>
    <xf numFmtId="0" fontId="0" fillId="9" borderId="12" xfId="0" applyFill="1" applyBorder="1"/>
    <xf numFmtId="164" fontId="6" fillId="7" borderId="29" xfId="0" applyNumberFormat="1" applyFont="1" applyFill="1" applyBorder="1"/>
    <xf numFmtId="164" fontId="9" fillId="8" borderId="17" xfId="0" applyNumberFormat="1" applyFont="1" applyFill="1" applyBorder="1" applyAlignment="1">
      <alignment horizontal="center" vertical="center"/>
    </xf>
    <xf numFmtId="20" fontId="14" fillId="5" borderId="28" xfId="0" applyNumberFormat="1" applyFont="1" applyFill="1"/>
    <xf numFmtId="165" fontId="2" fillId="4" borderId="10" xfId="0" applyNumberFormat="1" applyFont="1" applyFill="1" applyBorder="1"/>
    <xf numFmtId="165" fontId="9" fillId="8" borderId="17" xfId="0" applyNumberFormat="1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left" vertical="center"/>
    </xf>
    <xf numFmtId="0" fontId="16" fillId="2" borderId="15" xfId="0" applyFont="1" applyFill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64" fontId="0" fillId="5" borderId="26" xfId="0" applyNumberFormat="1" applyFill="1" applyBorder="1"/>
    <xf numFmtId="20" fontId="2" fillId="7" borderId="28" xfId="0" applyNumberFormat="1" applyFont="1" applyFill="1" applyBorder="1"/>
    <xf numFmtId="164" fontId="0" fillId="5" borderId="28" xfId="0" applyNumberFormat="1" applyFill="1" applyBorder="1"/>
    <xf numFmtId="164" fontId="2" fillId="7" borderId="28" xfId="0" applyNumberFormat="1" applyFont="1" applyFill="1" applyBorder="1"/>
    <xf numFmtId="0" fontId="15" fillId="11" borderId="27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17" fillId="10" borderId="8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15" fillId="9" borderId="27" xfId="0" applyFont="1" applyFill="1" applyBorder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23</xdr:row>
          <xdr:rowOff>22860</xdr:rowOff>
        </xdr:from>
        <xdr:to>
          <xdr:col>6</xdr:col>
          <xdr:colOff>617220</xdr:colOff>
          <xdr:row>26</xdr:row>
          <xdr:rowOff>213360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28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ALLE Eingaben zurücksetzen 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B205"/>
  <sheetViews>
    <sheetView tabSelected="1" zoomScale="90" zoomScaleNormal="90" workbookViewId="0">
      <pane ySplit="1" topLeftCell="A2" activePane="bottomLeft" state="frozen"/>
      <selection pane="bottomLeft" sqref="A1:G1"/>
    </sheetView>
  </sheetViews>
  <sheetFormatPr baseColWidth="10" defaultColWidth="8.88671875" defaultRowHeight="14.4" x14ac:dyDescent="0.3"/>
  <cols>
    <col min="1" max="1" width="50.77734375" customWidth="1"/>
    <col min="2" max="2" width="24" customWidth="1"/>
    <col min="3" max="3" width="58" customWidth="1"/>
    <col min="4" max="4" width="3" customWidth="1"/>
    <col min="5" max="5" width="49" customWidth="1"/>
    <col min="6" max="6" width="24" customWidth="1"/>
    <col min="7" max="7" width="9.21875" customWidth="1"/>
    <col min="8" max="52" width="13" customWidth="1"/>
  </cols>
  <sheetData>
    <row r="1" spans="1:28" ht="31.2" customHeight="1" thickBot="1" x14ac:dyDescent="0.35">
      <c r="A1" s="67" t="s">
        <v>25</v>
      </c>
      <c r="B1" s="68"/>
      <c r="C1" s="68"/>
      <c r="D1" s="68"/>
      <c r="E1" s="68"/>
      <c r="F1" s="68"/>
      <c r="G1" s="69"/>
    </row>
    <row r="2" spans="1:28" ht="17.399999999999999" customHeight="1" x14ac:dyDescent="0.3">
      <c r="A2" s="49" t="s">
        <v>21</v>
      </c>
      <c r="B2" s="42"/>
      <c r="C2" s="43"/>
      <c r="E2" s="64" t="s">
        <v>23</v>
      </c>
      <c r="F2" s="65"/>
      <c r="G2" s="66"/>
    </row>
    <row r="3" spans="1:28" x14ac:dyDescent="0.3">
      <c r="A3" s="13" t="s">
        <v>0</v>
      </c>
      <c r="B3" s="9">
        <v>0.32500000000000001</v>
      </c>
      <c r="C3" s="14" t="s">
        <v>1</v>
      </c>
      <c r="E3" s="28" t="s">
        <v>0</v>
      </c>
      <c r="F3" s="29">
        <v>0.32500000000000001</v>
      </c>
      <c r="G3" s="32"/>
    </row>
    <row r="4" spans="1:28" ht="15" customHeight="1" thickBot="1" x14ac:dyDescent="0.35">
      <c r="A4" s="13" t="s">
        <v>2</v>
      </c>
      <c r="B4" s="9">
        <v>2.0833333333333332E-2</v>
      </c>
      <c r="C4" s="14" t="s">
        <v>3</v>
      </c>
      <c r="E4" s="28" t="s">
        <v>2</v>
      </c>
      <c r="F4" s="29">
        <v>2.0833333333333332E-2</v>
      </c>
      <c r="G4" s="32"/>
    </row>
    <row r="5" spans="1:28" ht="16.8" customHeight="1" thickTop="1" thickBot="1" x14ac:dyDescent="0.35">
      <c r="A5" s="27" t="s">
        <v>4</v>
      </c>
      <c r="B5" s="45" t="s">
        <v>5</v>
      </c>
      <c r="C5" s="14" t="s">
        <v>6</v>
      </c>
      <c r="E5" s="33" t="s">
        <v>4</v>
      </c>
      <c r="F5" s="34" t="s">
        <v>5</v>
      </c>
      <c r="G5" s="30" t="s">
        <v>6</v>
      </c>
    </row>
    <row r="6" spans="1:28" ht="16.8" customHeight="1" thickTop="1" thickBot="1" x14ac:dyDescent="0.35">
      <c r="A6" s="27" t="s">
        <v>7</v>
      </c>
      <c r="B6" s="45" t="s">
        <v>5</v>
      </c>
      <c r="C6" s="14" t="s">
        <v>6</v>
      </c>
      <c r="E6" s="39" t="s">
        <v>8</v>
      </c>
      <c r="F6" s="46">
        <v>0</v>
      </c>
      <c r="G6" s="32" t="s">
        <v>9</v>
      </c>
    </row>
    <row r="7" spans="1:28" ht="15" customHeight="1" thickTop="1" x14ac:dyDescent="0.3">
      <c r="A7" s="15"/>
      <c r="B7" s="2"/>
      <c r="C7" s="16"/>
      <c r="E7" s="31"/>
      <c r="F7" s="29"/>
      <c r="G7" s="32"/>
    </row>
    <row r="8" spans="1:28" x14ac:dyDescent="0.3">
      <c r="A8" s="17" t="s">
        <v>10</v>
      </c>
      <c r="B8" s="3"/>
      <c r="C8" s="16"/>
      <c r="E8" s="35" t="s">
        <v>11</v>
      </c>
      <c r="F8" s="36"/>
      <c r="G8" s="32"/>
    </row>
    <row r="9" spans="1:28" ht="15.6" customHeight="1" x14ac:dyDescent="0.3">
      <c r="A9" s="13" t="s">
        <v>12</v>
      </c>
      <c r="B9" s="4" t="str">
        <f>IF(OR(NOT(ISNUMBER(B5)),NOT(ISNUMBER(B4)),NOT(ISNUMBER(B3))),"",B5+B4+B3)</f>
        <v/>
      </c>
      <c r="C9" s="16"/>
      <c r="E9" s="28" t="s">
        <v>13</v>
      </c>
      <c r="F9" s="37" t="str">
        <f>IF(OR($F$5=0,NOT(ISNUMBER($F$5))),"", $F$3 + MAX(0, $F$6 - TIME(0,15,0)))</f>
        <v/>
      </c>
      <c r="G9" s="32"/>
    </row>
    <row r="10" spans="1:28" ht="15.6" customHeight="1" x14ac:dyDescent="0.3">
      <c r="A10" s="15"/>
      <c r="B10" s="2"/>
      <c r="C10" s="16"/>
      <c r="E10" s="28" t="s">
        <v>14</v>
      </c>
      <c r="F10" s="60" t="str">
        <f>IF(NOT(ISNUMBER(F11)),"",F11-TIME(0,25,0))</f>
        <v/>
      </c>
      <c r="G10" s="32"/>
    </row>
    <row r="11" spans="1:28" ht="18" customHeight="1" x14ac:dyDescent="0.35">
      <c r="A11" s="17" t="s">
        <v>11</v>
      </c>
      <c r="B11" s="3"/>
      <c r="C11" s="16"/>
      <c r="E11" s="40" t="s">
        <v>15</v>
      </c>
      <c r="F11" s="44" t="str">
        <f>IF(OR(NOT(ISNUMBER(F5)),NOT(ISNUMBER(F3)),NOT(ISNUMBER(F4)),NOT(ISNUMBER(F6))),"",F5+F3+F4+F6)</f>
        <v/>
      </c>
      <c r="G11" s="38"/>
    </row>
    <row r="12" spans="1:28" ht="15" customHeight="1" thickBot="1" x14ac:dyDescent="0.35">
      <c r="A12" s="13" t="s">
        <v>14</v>
      </c>
      <c r="B12" s="4" t="str">
        <f>IF(NOT(ISNUMBER(B6)),"",B6-TIME(0,25,0))</f>
        <v/>
      </c>
      <c r="C12" s="16"/>
      <c r="AB12" s="1"/>
    </row>
    <row r="13" spans="1:28" ht="15.6" customHeight="1" x14ac:dyDescent="0.3">
      <c r="A13" s="13" t="s">
        <v>13</v>
      </c>
      <c r="B13" s="5" t="str">
        <f>IF(OR(NOT(ISNUMBER(B5)),NOT(ISNUMBER(B6)),NOT(ISNUMBER(B4))),"",IF(B6&lt;B5,B6+1,B6)-B5-B4)</f>
        <v/>
      </c>
      <c r="C13" s="16"/>
      <c r="E13" s="70" t="s">
        <v>24</v>
      </c>
      <c r="F13" s="65"/>
      <c r="G13" s="66"/>
    </row>
    <row r="14" spans="1:28" ht="18.600000000000001" customHeight="1" thickBot="1" x14ac:dyDescent="0.4">
      <c r="A14" s="50" t="s">
        <v>16</v>
      </c>
      <c r="B14" s="47" t="str">
        <f>IF(OR(NOT(ISNUMBER(B3)),NOT(ISNUMBER(B13))),"",MAX(0,B3-B13))</f>
        <v/>
      </c>
      <c r="C14" s="19"/>
      <c r="E14" s="28" t="s">
        <v>0</v>
      </c>
      <c r="F14" s="29">
        <v>0.32500000000000001</v>
      </c>
      <c r="G14" s="32"/>
    </row>
    <row r="15" spans="1:28" ht="15" customHeight="1" thickBot="1" x14ac:dyDescent="0.35">
      <c r="A15" s="6"/>
      <c r="B15" s="7"/>
      <c r="C15" s="8"/>
      <c r="E15" s="28" t="s">
        <v>20</v>
      </c>
      <c r="F15" s="29">
        <v>2.0833333333333332E-2</v>
      </c>
      <c r="G15" s="32" t="s">
        <v>9</v>
      </c>
    </row>
    <row r="16" spans="1:28" ht="17.399999999999999" customHeight="1" thickBot="1" x14ac:dyDescent="0.35">
      <c r="A16" s="49" t="s">
        <v>22</v>
      </c>
      <c r="B16" s="42"/>
      <c r="C16" s="43"/>
      <c r="E16" s="33" t="s">
        <v>17</v>
      </c>
      <c r="F16" s="34" t="s">
        <v>5</v>
      </c>
      <c r="G16" s="30" t="s">
        <v>6</v>
      </c>
    </row>
    <row r="17" spans="1:7" ht="15" customHeight="1" thickBot="1" x14ac:dyDescent="0.35">
      <c r="A17" s="20" t="s">
        <v>0</v>
      </c>
      <c r="B17" s="9">
        <v>0.32500000000000001</v>
      </c>
      <c r="C17" s="14" t="s">
        <v>1</v>
      </c>
      <c r="E17" s="33" t="s">
        <v>4</v>
      </c>
      <c r="F17" s="34" t="s">
        <v>5</v>
      </c>
      <c r="G17" s="30" t="s">
        <v>6</v>
      </c>
    </row>
    <row r="18" spans="1:7" ht="15" customHeight="1" thickBot="1" x14ac:dyDescent="0.35">
      <c r="A18" s="20" t="s">
        <v>2</v>
      </c>
      <c r="B18" s="9">
        <v>2.0833333333333332E-2</v>
      </c>
      <c r="C18" s="14" t="s">
        <v>3</v>
      </c>
      <c r="E18" s="31"/>
      <c r="F18" s="29"/>
      <c r="G18" s="32"/>
    </row>
    <row r="19" spans="1:7" ht="15.6" customHeight="1" thickBot="1" x14ac:dyDescent="0.4">
      <c r="A19" s="21" t="s">
        <v>16</v>
      </c>
      <c r="B19" s="48" t="s">
        <v>5</v>
      </c>
      <c r="C19" s="14" t="s">
        <v>9</v>
      </c>
      <c r="E19" s="28" t="s">
        <v>13</v>
      </c>
      <c r="F19" s="61" t="str">
        <f>IF(OR(NOT(ISNUMBER(F16)),NOT(ISNUMBER(F17))),"", MAX(0,(IF(F16&lt;F17,F16+1,F16)-F17) - $F$15))</f>
        <v/>
      </c>
      <c r="G19" s="32"/>
    </row>
    <row r="20" spans="1:7" ht="15.6" customHeight="1" thickBot="1" x14ac:dyDescent="0.35">
      <c r="A20" s="22" t="s">
        <v>4</v>
      </c>
      <c r="B20" s="45" t="s">
        <v>5</v>
      </c>
      <c r="C20" s="14" t="s">
        <v>6</v>
      </c>
      <c r="E20" s="28" t="s">
        <v>18</v>
      </c>
      <c r="F20" s="62" t="str">
        <f>IF(NOT(ISNUMBER(F16)),"",F16)</f>
        <v/>
      </c>
      <c r="G20" s="32"/>
    </row>
    <row r="21" spans="1:7" ht="15" customHeight="1" x14ac:dyDescent="0.35">
      <c r="A21" s="15"/>
      <c r="B21" s="2"/>
      <c r="C21" s="16"/>
      <c r="E21" s="33" t="s">
        <v>15</v>
      </c>
      <c r="F21" s="63" t="str">
        <f>IF(NOT(ISNUMBER(F16)),"", F16 + TIME(0,25,0))</f>
        <v/>
      </c>
      <c r="G21" s="32"/>
    </row>
    <row r="22" spans="1:7" ht="18.600000000000001" customHeight="1" thickBot="1" x14ac:dyDescent="0.4">
      <c r="A22" s="23" t="s">
        <v>10</v>
      </c>
      <c r="B22" s="10"/>
      <c r="C22" s="16"/>
      <c r="E22" s="18" t="s">
        <v>16</v>
      </c>
      <c r="F22" s="47" t="str">
        <f>IF(OR(NOT(ISNUMBER(F14)),NOT(ISNUMBER(F15)),NOT(ISNUMBER(F16)),NOT(ISNUMBER(F17)),NOT(ISNUMBER(F21))),"",MAX(0, ((IF(F17+F14+F15&lt;F17, F17+F14+F15+1, F17+F14+F15)-F17) -         (IF(F21&lt;F17, F21+1, F21)-F17) )) )</f>
        <v/>
      </c>
      <c r="G22" s="38"/>
    </row>
    <row r="23" spans="1:7" ht="15" customHeight="1" thickBot="1" x14ac:dyDescent="0.35">
      <c r="A23" s="20" t="s">
        <v>12</v>
      </c>
      <c r="B23" s="4" t="str">
        <f>IF(OR(NOT(ISNUMBER(B20)),NOT(ISNUMBER(B18)),NOT(ISNUMBER(B17))),"",B20+B18+B17)</f>
        <v/>
      </c>
      <c r="C23" s="16"/>
    </row>
    <row r="24" spans="1:7" x14ac:dyDescent="0.3">
      <c r="A24" s="15"/>
      <c r="B24" s="2"/>
      <c r="C24" s="16"/>
      <c r="E24" s="51"/>
      <c r="F24" s="52"/>
      <c r="G24" s="53"/>
    </row>
    <row r="25" spans="1:7" ht="15.6" customHeight="1" x14ac:dyDescent="0.3">
      <c r="A25" s="24" t="s">
        <v>13</v>
      </c>
      <c r="B25" s="11" t="str">
        <f>IF(OR(NOT(ISNUMBER(B19)),NOT(ISNUMBER(B20))),"",IF(OR(NOT(ISNUMBER(B17)),NOT(ISNUMBER(B19))),"",MAX(0,B17-B19)))</f>
        <v/>
      </c>
      <c r="C25" s="16"/>
      <c r="E25" s="54"/>
      <c r="F25" s="55"/>
      <c r="G25" s="56"/>
    </row>
    <row r="26" spans="1:7" ht="15.6" customHeight="1" x14ac:dyDescent="0.3">
      <c r="A26" s="20" t="s">
        <v>14</v>
      </c>
      <c r="B26" s="12" t="str">
        <f>IF(OR(NOT(ISNUMBER(B20)),NOT(ISNUMBER(B17)),NOT(ISNUMBER(B19)),NOT(ISNUMBER(B18))),"",B20 + B17 - B19 - TIME(0,25,0) + B18)</f>
        <v/>
      </c>
      <c r="C26" s="16"/>
      <c r="E26" s="54"/>
      <c r="F26" s="55"/>
      <c r="G26" s="56"/>
    </row>
    <row r="27" spans="1:7" ht="18" customHeight="1" thickBot="1" x14ac:dyDescent="0.4">
      <c r="A27" s="25" t="s">
        <v>19</v>
      </c>
      <c r="B27" s="26" t="str">
        <f>IF(OR(NOT(ISNUMBER(B20)),NOT(ISNUMBER(B17)),NOT(ISNUMBER(B19)),NOT(ISNUMBER(B18))),"",B20+B17-B19+B18)</f>
        <v/>
      </c>
      <c r="C27" s="19"/>
      <c r="E27" s="57"/>
      <c r="F27" s="58"/>
      <c r="G27" s="59"/>
    </row>
    <row r="29" spans="1:7" x14ac:dyDescent="0.3">
      <c r="A29" s="41"/>
      <c r="B29" s="41"/>
      <c r="C29" s="41"/>
    </row>
    <row r="30" spans="1:7" x14ac:dyDescent="0.3">
      <c r="A30" s="41"/>
      <c r="B30" s="41"/>
      <c r="C30" s="41"/>
    </row>
    <row r="205" ht="18.600000000000001" customHeight="1" thickBot="1" x14ac:dyDescent="0.35"/>
  </sheetData>
  <mergeCells count="3">
    <mergeCell ref="E2:G2"/>
    <mergeCell ref="A1:G1"/>
    <mergeCell ref="E13:G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setEingaben">
                <anchor moveWithCells="1">
                  <from>
                    <xdr:col>4</xdr:col>
                    <xdr:colOff>22860</xdr:colOff>
                    <xdr:row>23</xdr:row>
                    <xdr:rowOff>22860</xdr:rowOff>
                  </from>
                  <to>
                    <xdr:col>6</xdr:col>
                    <xdr:colOff>617220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Arbeitszeit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MaxVR13</dc:creator>
  <cp:lastModifiedBy>Goede, Max</cp:lastModifiedBy>
  <dcterms:created xsi:type="dcterms:W3CDTF">2025-09-15T16:56:09Z</dcterms:created>
  <dcterms:modified xsi:type="dcterms:W3CDTF">2025-09-22T19:56:27Z</dcterms:modified>
</cp:coreProperties>
</file>